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echackr-my.sharepoint.com/personal/shbaek03_postech_ac_kr/Documents/BIRD/FOC_project/B-G431B-ESC1/"/>
    </mc:Choice>
  </mc:AlternateContent>
  <xr:revisionPtr revIDLastSave="3" documentId="8_{152CF17F-03FC-4A31-A7BA-909988E2F8E2}" xr6:coauthVersionLast="47" xr6:coauthVersionMax="47" xr10:uidLastSave="{E6404909-828E-4654-A09A-59943244480F}"/>
  <bookViews>
    <workbookView xWindow="-20588" yWindow="-923" windowWidth="20686" windowHeight="14835" xr2:uid="{B4496DDD-BFF1-423E-B823-2FA25B9A5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9" i="1"/>
  <c r="B10" i="1" s="1"/>
  <c r="B13" i="1" l="1"/>
  <c r="B12" i="1"/>
</calcChain>
</file>

<file path=xl/sharedStrings.xml><?xml version="1.0" encoding="utf-8"?>
<sst xmlns="http://schemas.openxmlformats.org/spreadsheetml/2006/main" count="21" uniqueCount="17">
  <si>
    <t>rad</t>
    <phoneticPr fontId="1" type="noConversion"/>
  </si>
  <si>
    <t>V_ch1</t>
    <phoneticPr fontId="1" type="noConversion"/>
  </si>
  <si>
    <t>V_ch2</t>
    <phoneticPr fontId="1" type="noConversion"/>
  </si>
  <si>
    <t>Rs</t>
    <phoneticPr fontId="1" type="noConversion"/>
  </si>
  <si>
    <t>Ohm</t>
    <phoneticPr fontId="1" type="noConversion"/>
  </si>
  <si>
    <t>Vrms[mV]</t>
    <phoneticPr fontId="1" type="noConversion"/>
  </si>
  <si>
    <t>I</t>
    <phoneticPr fontId="1" type="noConversion"/>
  </si>
  <si>
    <t>A</t>
    <phoneticPr fontId="1" type="noConversion"/>
  </si>
  <si>
    <t>Z</t>
    <phoneticPr fontId="1" type="noConversion"/>
  </si>
  <si>
    <t>R</t>
    <phoneticPr fontId="1" type="noConversion"/>
  </si>
  <si>
    <t>L</t>
    <phoneticPr fontId="1" type="noConversion"/>
  </si>
  <si>
    <t>freq</t>
    <phoneticPr fontId="1" type="noConversion"/>
  </si>
  <si>
    <t>Hz</t>
    <phoneticPr fontId="1" type="noConversion"/>
  </si>
  <si>
    <t>H</t>
    <phoneticPr fontId="1" type="noConversion"/>
  </si>
  <si>
    <t>Motor Parameter Calculator</t>
    <phoneticPr fontId="1" type="noConversion"/>
  </si>
  <si>
    <t>phi_calc</t>
    <phoneticPr fontId="1" type="noConversion"/>
  </si>
  <si>
    <t>phi_meas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</si>
</sst>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E0D1-DFB9-4F7C-AFAB-7DDED921258A}">
  <dimension ref="A1:C13"/>
  <sheetViews>
    <sheetView tabSelected="1" workbookViewId="0">
      <selection activeCell="C13" sqref="C13"/>
    </sheetView>
  </sheetViews>
  <sheetFormatPr defaultRowHeight="17.600000000000001" x14ac:dyDescent="0.55000000000000004"/>
  <cols>
    <col min="2" max="2" width="23" customWidth="1"/>
    <col min="8" max="8" width="11.640625" customWidth="1"/>
    <col min="9" max="9" width="10.35546875" customWidth="1"/>
  </cols>
  <sheetData>
    <row r="1" spans="1:3" x14ac:dyDescent="0.55000000000000004">
      <c r="A1" s="5" t="s">
        <v>14</v>
      </c>
      <c r="B1" s="5"/>
      <c r="C1" s="5"/>
    </row>
    <row r="2" spans="1:3" x14ac:dyDescent="0.55000000000000004">
      <c r="A2" s="1" t="s">
        <v>11</v>
      </c>
      <c r="B2" s="1">
        <v>10000</v>
      </c>
      <c r="C2" s="1" t="s">
        <v>12</v>
      </c>
    </row>
    <row r="3" spans="1:3" x14ac:dyDescent="0.55000000000000004">
      <c r="A3" s="1" t="s">
        <v>16</v>
      </c>
      <c r="B3" s="1">
        <v>1.637</v>
      </c>
      <c r="C3" s="1" t="s">
        <v>0</v>
      </c>
    </row>
    <row r="4" spans="1:3" x14ac:dyDescent="0.55000000000000004">
      <c r="A4" s="1" t="s">
        <v>15</v>
      </c>
      <c r="B4" s="1">
        <f>PI()-B3</f>
        <v>1.5045926535897931</v>
      </c>
      <c r="C4" s="1" t="s">
        <v>0</v>
      </c>
    </row>
    <row r="5" spans="1:3" x14ac:dyDescent="0.55000000000000004">
      <c r="A5" s="1" t="s">
        <v>1</v>
      </c>
      <c r="B5" s="1">
        <v>136.1</v>
      </c>
      <c r="C5" s="1" t="s">
        <v>5</v>
      </c>
    </row>
    <row r="6" spans="1:3" x14ac:dyDescent="0.55000000000000004">
      <c r="A6" s="1" t="s">
        <v>2</v>
      </c>
      <c r="B6" s="1">
        <v>1.6970000000000001</v>
      </c>
      <c r="C6" s="1" t="s">
        <v>5</v>
      </c>
    </row>
    <row r="7" spans="1:3" x14ac:dyDescent="0.55000000000000004">
      <c r="A7" s="1" t="s">
        <v>3</v>
      </c>
      <c r="B7" s="1">
        <v>100</v>
      </c>
      <c r="C7" s="1" t="s">
        <v>4</v>
      </c>
    </row>
    <row r="9" spans="1:3" x14ac:dyDescent="0.55000000000000004">
      <c r="A9" s="2" t="s">
        <v>6</v>
      </c>
      <c r="B9" s="2">
        <f>(B5-B6)/B7</f>
        <v>1.3440299999999998</v>
      </c>
      <c r="C9" s="2" t="s">
        <v>7</v>
      </c>
    </row>
    <row r="10" spans="1:3" x14ac:dyDescent="0.55000000000000004">
      <c r="A10" s="2" t="s">
        <v>8</v>
      </c>
      <c r="B10" s="2">
        <f>B6/B9</f>
        <v>1.2626206260276931</v>
      </c>
      <c r="C10" s="2" t="s">
        <v>4</v>
      </c>
    </row>
    <row r="12" spans="1:3" x14ac:dyDescent="0.55000000000000004">
      <c r="A12" s="3" t="s">
        <v>9</v>
      </c>
      <c r="B12" s="3">
        <f>B10*COS(B4)</f>
        <v>8.3529075128630476E-2</v>
      </c>
      <c r="C12" s="3" t="s">
        <v>4</v>
      </c>
    </row>
    <row r="13" spans="1:3" x14ac:dyDescent="0.55000000000000004">
      <c r="A13" s="3" t="s">
        <v>10</v>
      </c>
      <c r="B13" s="4">
        <f>B10*SIN(B4)/(2*PI()*B2)</f>
        <v>2.0051209510915115E-5</v>
      </c>
      <c r="C13" s="3" t="s">
        <v>13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백승현(기계공학과)</dc:creator>
  <cp:lastModifiedBy>백승현(기계공학과)</cp:lastModifiedBy>
  <dcterms:created xsi:type="dcterms:W3CDTF">2026-01-27T05:15:28Z</dcterms:created>
  <dcterms:modified xsi:type="dcterms:W3CDTF">2026-02-04T14:35:14Z</dcterms:modified>
</cp:coreProperties>
</file>